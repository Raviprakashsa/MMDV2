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amp; Playbook" state="visible" r:id="rId4"/>
    <sheet sheetId="2" name="Interview Tracker" state="visible" r:id="rId5"/>
    <sheet sheetId="3" name="Discovery Dashboard" state="visible" r:id="rId6"/>
  </sheets>
  <calcPr calcId="171027"/>
</workbook>
</file>

<file path=xl/sharedStrings.xml><?xml version="1.0" encoding="utf-8"?>
<sst xmlns="http://schemas.openxmlformats.org/spreadsheetml/2006/main" count="519" uniqueCount="138">
  <si>
    <t>MMD Recruit CRM — Customer Discovery Discovery Playbook</t>
  </si>
  <si>
    <t>1. OVERVIEW OF THE CUSTOMER DISCOVERY TRACKER</t>
  </si>
  <si>
    <t>Purpose</t>
  </si>
  <si>
    <t>This tracker is designed for founder-led customer discovery. It helps aggregate qualitative feedback from 30 target customer interviews and convert them into quantitative metrics for product-market fit validation.</t>
  </si>
  <si>
    <t>Target Customers</t>
  </si>
  <si>
    <t xml:space="preserve">1. Recruitment Agencies (Fastest-moving, credit card buyers)
2. MSMEs (Looking for simple, affordable HR systems)
3. Startup HR Teams (High growth, need integration capabilities)</t>
  </si>
  <si>
    <t>How to Use</t>
  </si>
  <si>
    <t>For every interview conducted, capture the raw notes using the Interview Notes Template, then fill in one row in the "Interview Tracker" tab. The tracker automatically calculates the Market Validation Score (MVS) for each lead.</t>
  </si>
  <si>
    <t>2. MARKET VALIDATION SCORE (MVS) FORMULA</t>
  </si>
  <si>
    <t>Formula</t>
  </si>
  <si>
    <t xml:space="preserve">MVS = (Pain Intensity * 8) + (Urgency * 6) + (Budget/WTP Score * 4) + (Switching Probability Score * 2)
Maximum score is 100. Column M in the tracker calculates this automatically using formulas.</t>
  </si>
  <si>
    <t>Pain Intensity (1-5)</t>
  </si>
  <si>
    <t xml:space="preserve">1 = Nice-to-have problem. No real friction.
5 = Critical daily operational bottleneck (e.g., manual resume formatting taking 2 hours/day).</t>
  </si>
  <si>
    <t>Urgency (1-5)</t>
  </si>
  <si>
    <t xml:space="preserve">1 = Happy to review in 6-12 months. No timeline.
5 = Need a solution immediately / ready to test next week.</t>
  </si>
  <si>
    <t>Budget/WTP Score (1-5)</t>
  </si>
  <si>
    <t xml:space="preserve">1 = Free only / No budget.
5 = Has budget, currently spending money on software (e.g., Zoho/Bullhorn), willing to pay ₹2,500 - ₹8,000/mo.</t>
  </si>
  <si>
    <t>Switching Prob (1-5)</t>
  </si>
  <si>
    <t xml:space="preserve">1 = Tied to an annual enterprise contract, will not switch.
5 = Extremely unhappy with current stack or on Excel, ready to switch today.</t>
  </si>
  <si>
    <t>3. SCORE THRESHOLD INTERPRETATIONS</t>
  </si>
  <si>
    <t>MVS &gt;= 75 (High Validation)</t>
  </si>
  <si>
    <t>Red-hot lead. Strong pain, high urgency, budget available, high switching probability. These should be prioritised for the 14-day Monday Beta Pilot cohort.</t>
  </si>
  <si>
    <t>MVS 50 - 74 (Moderate)</t>
  </si>
  <si>
    <t>Has the pain, but lacks urgency or authority to buy. Keep in the nurturing loop, but do not focus MVP roadmap on them.</t>
  </si>
  <si>
    <t>MVS &lt; 50 (Low Validation)</t>
  </si>
  <si>
    <t>Usually enterprise HR teams or established agencies happy with their current stack. Do not build for them at this stage.</t>
  </si>
  <si>
    <t>Key Quotes / Feedback notes</t>
  </si>
  <si>
    <t>Fill out the details for each interview. Scores (I, J, K, L) are 1 to 5. MVS is calculated automatically (0-100). Scores &gt;= 75 indicate high PMF validation.</t>
  </si>
  <si>
    <t>L-01</t>
  </si>
  <si>
    <t>Rajesh Kumar</t>
  </si>
  <si>
    <t>Apex Staffing</t>
  </si>
  <si>
    <t>Recruitment Agency</t>
  </si>
  <si>
    <t>Excel/Folders</t>
  </si>
  <si>
    <t>Resume Formatting</t>
  </si>
  <si>
    <t>Yes</t>
  </si>
  <si>
    <t>Resume Formatter</t>
  </si>
  <si>
    <t>Committed</t>
  </si>
  <si>
    <t>2026-06-08</t>
  </si>
  <si>
    <t>Manual formatting takes 2 hrs/day. Very high interest in automated formatter.</t>
  </si>
  <si>
    <t>L-02</t>
  </si>
  <si>
    <t>Priya Sharma</t>
  </si>
  <si>
    <t>TechRecruit</t>
  </si>
  <si>
    <t>Zoho Recruit</t>
  </si>
  <si>
    <t>Slow Search</t>
  </si>
  <si>
    <t>Semantic Search</t>
  </si>
  <si>
    <t>Zoho search misses candidates inside older PDFs. Wants deep semantic keyword search.</t>
  </si>
  <si>
    <t>L-03</t>
  </si>
  <si>
    <t>Amit Patel</t>
  </si>
  <si>
    <t>Global HR</t>
  </si>
  <si>
    <t>Bullhorn</t>
  </si>
  <si>
    <t>UI Complexity</t>
  </si>
  <si>
    <t>No</t>
  </si>
  <si>
    <t>None</t>
  </si>
  <si>
    <t>Not Interested</t>
  </si>
  <si>
    <t>2026-06-09</t>
  </si>
  <si>
    <t>Bullhorn is bloated, recruiters bypass it for Excel. Bound by annual contract, decision maker is external board.</t>
  </si>
  <si>
    <t>L-04</t>
  </si>
  <si>
    <t>Vikram Malhotra</t>
  </si>
  <si>
    <t>Nexus Talent</t>
  </si>
  <si>
    <t>Data Security</t>
  </si>
  <si>
    <t>Duplicate Alert</t>
  </si>
  <si>
    <t>Fear of recruiters leaving and stealing spreadsheet database. Eager to secure data.</t>
  </si>
  <si>
    <t>L-05</t>
  </si>
  <si>
    <t>Shreya Sen</t>
  </si>
  <si>
    <t>Elite Executive</t>
  </si>
  <si>
    <t>Freshteam</t>
  </si>
  <si>
    <t>Interested</t>
  </si>
  <si>
    <t>2026-06-10</t>
  </si>
  <si>
    <t>Freshteam formatting takes too long, lacks automated templates. Willing to try a solution.</t>
  </si>
  <si>
    <t>L-06</t>
  </si>
  <si>
    <t>Manish Sharma</t>
  </si>
  <si>
    <t>Pinnacle Staffing</t>
  </si>
  <si>
    <t>Auto-Match</t>
  </si>
  <si>
    <t>Wants candidate-to-job matching automation. Manually mapping takes hours. Ready to switch if matched.</t>
  </si>
  <si>
    <t>L-07</t>
  </si>
  <si>
    <t>Kavita Rao</t>
  </si>
  <si>
    <t>Aspire Consulting</t>
  </si>
  <si>
    <t>2026-06-11</t>
  </si>
  <si>
    <t>Copy-pasting details into Excel is tedious. WTP is lower, but high willingness to try beta.</t>
  </si>
  <si>
    <t>L-08</t>
  </si>
  <si>
    <t>Rohan Das</t>
  </si>
  <si>
    <t>Vertex HR</t>
  </si>
  <si>
    <t>Loxo</t>
  </si>
  <si>
    <t>Other</t>
  </si>
  <si>
    <t>Invoice Sync</t>
  </si>
  <si>
    <t>USD billing is fluctuating heavily in INR. Wants stable local invoicing. Worried about data migration downtime.</t>
  </si>
  <si>
    <t>L-09</t>
  </si>
  <si>
    <t>Ananya Joshi</t>
  </si>
  <si>
    <t>Vantage Tech</t>
  </si>
  <si>
    <t>Invoicing</t>
  </si>
  <si>
    <t>2026-06-12</t>
  </si>
  <si>
    <t>Wants ATS linked to billing/invoicing directly when a placement is made.</t>
  </si>
  <si>
    <t>L-10</t>
  </si>
  <si>
    <t>Deepak Nair</t>
  </si>
  <si>
    <t>Stellar Hire</t>
  </si>
  <si>
    <t>Lacks easy syncing with WhatsApp/email, but switching is too high-friction for their team.</t>
  </si>
  <si>
    <t>L-11</t>
  </si>
  <si>
    <t/>
  </si>
  <si>
    <t>L-12</t>
  </si>
  <si>
    <t>L-13</t>
  </si>
  <si>
    <t>L-14</t>
  </si>
  <si>
    <t>L-15</t>
  </si>
  <si>
    <t>L-16</t>
  </si>
  <si>
    <t>L-17</t>
  </si>
  <si>
    <t>L-18</t>
  </si>
  <si>
    <t>L-19</t>
  </si>
  <si>
    <t>L-20</t>
  </si>
  <si>
    <t>L-21</t>
  </si>
  <si>
    <t>L-22</t>
  </si>
  <si>
    <t>L-23</t>
  </si>
  <si>
    <t>L-24</t>
  </si>
  <si>
    <t>L-25</t>
  </si>
  <si>
    <t>L-26</t>
  </si>
  <si>
    <t>L-27</t>
  </si>
  <si>
    <t>L-28</t>
  </si>
  <si>
    <t>L-29</t>
  </si>
  <si>
    <t>L-30</t>
  </si>
  <si>
    <t>MMD Recruit CRM — PMF Validation Dashboard</t>
  </si>
  <si>
    <t>METRIC DESCRIPTION</t>
  </si>
  <si>
    <t>SEGMENT SHARE &amp; PAIN TRACKER</t>
  </si>
  <si>
    <t>Total Interviews Tracked</t>
  </si>
  <si>
    <t>Segment: Recruitment Agency</t>
  </si>
  <si>
    <t>High Validation Leads (MVS &gt;= 75)</t>
  </si>
  <si>
    <t>Segment: MSME</t>
  </si>
  <si>
    <t>Average Pain Intensity (1-5)</t>
  </si>
  <si>
    <t>Segment: Startup HR</t>
  </si>
  <si>
    <t>Average Urgency Score (1-5)</t>
  </si>
  <si>
    <t>Pain: Resume Formatting Count</t>
  </si>
  <si>
    <t>Average Switching Probability (1-5)</t>
  </si>
  <si>
    <t>Pain: Slow Search Count</t>
  </si>
  <si>
    <t>Total Committed Pilots</t>
  </si>
  <si>
    <t>Pain: Invoicing / ATS Split Count</t>
  </si>
  <si>
    <t>Average Willingness to Pay</t>
  </si>
  <si>
    <t>Pain: Data Security Count</t>
  </si>
  <si>
    <t>HOW TO INTERPRET THIS DASHBOARD:</t>
  </si>
  <si>
    <t>• Total Interviews Tracked: Shows how many of your 30 target interviews you have completed.</t>
  </si>
  <si>
    <t>• High Validation Leads: Indicates the number of leads that scored &gt;= 75. A high percentage (e.g. &gt;50%) represents strong PMF signals.</t>
  </si>
  <si>
    <t>• Segment Analysis: Focus your early sales outreach and product releases on the customer segment and pain point that have the highest frequency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</si>
</sst>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15" x14ac:knownFonts="1">
    <font>
      <color theme="1"/>
      <family val="2"/>
      <scheme val="minor"/>
      <sz val="11"/>
      <name val="Calibri"/>
    </font>
    <font>
      <b/>
      <color rgb="004D40"/>
      <sz val="16"/>
      <name val="Segoe UI"/>
    </font>
    <font>
      <b/>
      <color rgb="FFFFFF"/>
      <sz val="11"/>
      <name val="Segoe UI"/>
    </font>
    <font>
      <sz val="10"/>
      <name val="Segoe UI"/>
    </font>
    <font>
      <b/>
      <sz val="10"/>
      <name val="Segoe UI"/>
    </font>
    <font>
      <b/>
      <color rgb="FFFFFF"/>
      <sz val="14"/>
      <name val="Segoe UI"/>
    </font>
    <font>
      <i/>
      <color rgb="555555"/>
      <sz val="10"/>
      <name val="Segoe UI"/>
    </font>
    <font>
      <b/>
      <color rgb="065F46"/>
      <sz val="10"/>
      <name val="Segoe UI"/>
    </font>
    <font>
      <b/>
      <color rgb="991B1B"/>
      <sz val="10"/>
      <name val="Segoe UI"/>
    </font>
    <font>
      <b/>
      <color rgb="92400E"/>
      <sz val="10"/>
      <name val="Segoe UI"/>
    </font>
    <font>
      <b/>
      <color rgb="004D40"/>
      <sz val="9"/>
      <name val="Segoe UI"/>
    </font>
    <font>
      <b/>
      <color rgb="4B5563"/>
      <sz val="9"/>
      <name val="Segoe UI"/>
    </font>
    <font>
      <b/>
      <color rgb="111827"/>
      <sz val="11"/>
      <name val="Segoe UI"/>
    </font>
    <font>
      <b/>
      <color rgb="004D40"/>
      <sz val="10"/>
      <name val="Segoe UI"/>
    </font>
    <font>
      <i/>
      <sz val="9"/>
      <name val="Segoe UI"/>
    </font>
  </fonts>
  <fills count="9">
    <fill>
      <patternFill patternType="none"/>
    </fill>
    <fill>
      <patternFill patternType="gray125"/>
    </fill>
    <fill>
      <patternFill patternType="solid">
        <fgColor rgb="E0F2F1"/>
      </patternFill>
    </fill>
    <fill>
      <patternFill patternType="solid">
        <fgColor rgb="008080"/>
      </patternFill>
    </fill>
    <fill>
      <patternFill patternType="solid">
        <fgColor rgb="F3F4F6"/>
      </patternFill>
    </fill>
    <fill>
      <patternFill patternType="solid">
        <fgColor rgb="D1FAE5"/>
      </patternFill>
    </fill>
    <fill>
      <patternFill patternType="solid">
        <fgColor rgb="FEE2E2"/>
      </patternFill>
    </fill>
    <fill>
      <patternFill patternType="solid">
        <fgColor rgb="FEF3C7"/>
      </patternFill>
    </fill>
    <fill>
      <patternFill patternType="solid">
        <fgColor rgb="F9FAFB"/>
      </patternFill>
    </fill>
  </fills>
  <borders count="6">
    <border>
      <left/>
      <right/>
      <top/>
      <bottom/>
      <diagonal/>
    </border>
    <border>
      <left/>
      <right style="thin">
        <color rgb="D1D5DB"/>
      </right>
      <top/>
      <bottom style="thin">
        <color rgb="D1D5DB"/>
      </bottom>
      <diagonal/>
    </border>
    <border>
      <left/>
      <right/>
      <top/>
      <bottom style="thin">
        <color rgb="D1D5DB"/>
      </bottom>
      <diagonal/>
    </border>
    <border>
      <left style="thin">
        <color rgb="D1D5DB"/>
      </left>
      <right style="thin">
        <color rgb="D1D5DB"/>
      </right>
      <top/>
      <bottom style="thin">
        <color rgb="D1D5DB"/>
      </bottom>
      <diagonal/>
    </border>
    <border>
      <left style="thin">
        <color rgb="D1D5DB"/>
      </left>
      <right/>
      <top style="thin">
        <color rgb="D1D5DB"/>
      </top>
      <bottom style="thin">
        <color rgb="D1D5DB"/>
      </bottom>
      <diagonal/>
    </border>
    <border>
      <left/>
      <right style="thin">
        <color rgb="D1D5DB"/>
      </right>
      <top style="thin">
        <color rgb="D1D5DB"/>
      </top>
      <bottom style="thin">
        <color rgb="D1D5DB"/>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indent="1"/>
    </xf>
    <xf numFmtId="0" fontId="3" fillId="0" borderId="1" xfId="0" applyFont="1" applyBorder="1" applyAlignment="1">
      <alignment vertical="top" wrapText="1"/>
    </xf>
    <xf numFmtId="0" fontId="3" fillId="0" borderId="2" xfId="0" applyFont="1" applyBorder="1" applyAlignment="1">
      <alignment vertical="top" wrapText="1"/>
    </xf>
    <xf numFmtId="0" fontId="4" fillId="0" borderId="1" xfId="0" applyFont="1" applyBorder="1" applyAlignment="1">
      <alignment vertical="top" wrapText="1"/>
    </xf>
    <xf numFmtId="0" fontId="5" fillId="3" borderId="0" xfId="0" applyFont="1" applyFill="1" applyAlignment="1">
      <alignment horizontal="center" vertical="center"/>
    </xf>
    <xf numFmtId="0" fontId="6" fillId="4" borderId="0" xfId="0" applyFont="1" applyFill="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left" vertical="center"/>
    </xf>
    <xf numFmtId="164" fontId="3" fillId="0" borderId="3" xfId="0" applyNumberFormat="1" applyFont="1" applyBorder="1" applyAlignment="1">
      <alignment horizontal="left" vertical="center"/>
    </xf>
    <xf numFmtId="0" fontId="7" fillId="5" borderId="3" xfId="0" applyFont="1" applyFill="1" applyBorder="1" applyAlignment="1">
      <alignment horizontal="center" vertical="center"/>
    </xf>
    <xf numFmtId="0" fontId="3" fillId="0" borderId="3" xfId="0" applyFont="1" applyBorder="1" applyAlignment="1">
      <alignment horizontal="left" vertical="center" wrapText="1"/>
    </xf>
    <xf numFmtId="0" fontId="8" fillId="6" borderId="3" xfId="0" applyFont="1" applyFill="1" applyBorder="1" applyAlignment="1">
      <alignment horizontal="center" vertical="center"/>
    </xf>
    <xf numFmtId="0" fontId="9" fillId="7" borderId="3" xfId="0" applyFont="1" applyFill="1" applyBorder="1" applyAlignment="1">
      <alignment horizontal="center" vertical="center"/>
    </xf>
    <xf numFmtId="0" fontId="3" fillId="8" borderId="3" xfId="0" applyFont="1" applyFill="1" applyBorder="1" applyAlignment="1">
      <alignment horizontal="center" vertical="center"/>
    </xf>
    <xf numFmtId="0" fontId="10" fillId="2" borderId="0" xfId="0" applyFont="1" applyFill="1" applyAlignment="1">
      <alignment horizontal="center" vertical="center"/>
    </xf>
    <xf numFmtId="0" fontId="11" fillId="8" borderId="4" xfId="0" applyFont="1" applyFill="1" applyBorder="1" applyAlignment="1">
      <alignment horizontal="left" vertical="center" indent="1"/>
    </xf>
    <xf numFmtId="0" fontId="12" fillId="4" borderId="5" xfId="0" applyFont="1" applyFill="1" applyBorder="1" applyAlignment="1">
      <alignment horizontal="center" vertical="center"/>
    </xf>
    <xf numFmtId="0" fontId="12" fillId="5" borderId="5" xfId="0" applyFont="1" applyFill="1" applyBorder="1" applyAlignment="1">
      <alignment horizontal="center" vertical="center"/>
    </xf>
    <xf numFmtId="164" fontId="12" fillId="4" borderId="5" xfId="0" applyNumberFormat="1" applyFont="1" applyFill="1" applyBorder="1" applyAlignment="1">
      <alignment horizontal="center" vertical="center"/>
    </xf>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9"/>
  <sheetViews>
    <sheetView workbookViewId="0"/>
  </sheetViews>
  <sheetFormatPr defaultRowHeight="15" outlineLevelRow="0" outlineLevelCol="0" x14ac:dyDescent="55"/>
  <cols>
    <col min="1" max="1" width="4" customWidth="1"/>
    <col min="2" max="2" width="28" customWidth="1"/>
    <col min="3" max="3" width="65" customWidth="1"/>
  </cols>
  <sheetData>
    <row r="2" ht="40" customHeight="1" spans="2:3" x14ac:dyDescent="0.25">
      <c r="B2" s="1" t="s">
        <v>0</v>
      </c>
      <c r="C2" s="1"/>
    </row>
    <row r="4" ht="25" customHeight="1" spans="2:3" x14ac:dyDescent="0.25">
      <c r="B4" s="2" t="s">
        <v>1</v>
      </c>
      <c r="C4" s="2"/>
    </row>
    <row r="5" ht="45" customHeight="1" spans="2:3" x14ac:dyDescent="0.25">
      <c r="B5" s="3" t="s">
        <v>2</v>
      </c>
      <c r="C5" s="4" t="s">
        <v>3</v>
      </c>
    </row>
    <row r="6" ht="45" customHeight="1" spans="2:3" x14ac:dyDescent="0.25">
      <c r="B6" s="5" t="s">
        <v>4</v>
      </c>
      <c r="C6" s="4" t="s">
        <v>5</v>
      </c>
    </row>
    <row r="7" ht="45" customHeight="1" spans="2:3" x14ac:dyDescent="0.25">
      <c r="B7" s="3" t="s">
        <v>6</v>
      </c>
      <c r="C7" s="4" t="s">
        <v>7</v>
      </c>
    </row>
    <row r="9" ht="25" customHeight="1" spans="2:3" x14ac:dyDescent="0.25">
      <c r="B9" s="2" t="s">
        <v>8</v>
      </c>
      <c r="C9" s="2"/>
    </row>
    <row r="10" ht="45" customHeight="1" spans="2:3" x14ac:dyDescent="0.25">
      <c r="B10" s="5" t="s">
        <v>9</v>
      </c>
      <c r="C10" s="4" t="s">
        <v>10</v>
      </c>
    </row>
    <row r="11" ht="45" customHeight="1" spans="2:3" x14ac:dyDescent="0.25">
      <c r="B11" s="3" t="s">
        <v>11</v>
      </c>
      <c r="C11" s="4" t="s">
        <v>12</v>
      </c>
    </row>
    <row r="12" ht="45" customHeight="1" spans="2:3" x14ac:dyDescent="0.25">
      <c r="B12" s="3" t="s">
        <v>13</v>
      </c>
      <c r="C12" s="4" t="s">
        <v>14</v>
      </c>
    </row>
    <row r="13" ht="45" customHeight="1" spans="2:3" x14ac:dyDescent="0.25">
      <c r="B13" s="3" t="s">
        <v>15</v>
      </c>
      <c r="C13" s="4" t="s">
        <v>16</v>
      </c>
    </row>
    <row r="14" ht="45" customHeight="1" spans="2:3" x14ac:dyDescent="0.25">
      <c r="B14" s="3" t="s">
        <v>17</v>
      </c>
      <c r="C14" s="4" t="s">
        <v>18</v>
      </c>
    </row>
    <row r="16" ht="25" customHeight="1" spans="2:3" x14ac:dyDescent="0.25">
      <c r="B16" s="2" t="s">
        <v>19</v>
      </c>
      <c r="C16" s="2"/>
    </row>
    <row r="17" ht="45" customHeight="1" spans="2:3" x14ac:dyDescent="0.25">
      <c r="B17" s="5" t="s">
        <v>20</v>
      </c>
      <c r="C17" s="4" t="s">
        <v>21</v>
      </c>
    </row>
    <row r="18" ht="45" customHeight="1" spans="2:3" x14ac:dyDescent="0.25">
      <c r="B18" s="3" t="s">
        <v>22</v>
      </c>
      <c r="C18" s="4" t="s">
        <v>23</v>
      </c>
    </row>
    <row r="19" ht="45" customHeight="1" spans="2:3" x14ac:dyDescent="0.25">
      <c r="B19" s="5" t="s">
        <v>24</v>
      </c>
      <c r="C19" s="4" t="s">
        <v>25</v>
      </c>
    </row>
  </sheetData>
  <mergeCells count="4">
    <mergeCell ref="B2:C2"/>
    <mergeCell ref="B4:C4"/>
    <mergeCell ref="B9:C9"/>
    <mergeCell ref="B16:C1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sheetViews>
  <sheetFormatPr defaultRowHeight="15" outlineLevelRow="0" outlineLevelCol="0" x14ac:dyDescent="55"/>
  <cols>
    <col min="2" max="2" width="18" customWidth="1"/>
    <col min="3" max="3" width="20" customWidth="1"/>
    <col min="4" max="4" width="18" customWidth="1"/>
    <col min="5" max="5" width="10" customWidth="1"/>
    <col min="6" max="6" width="15" customWidth="1"/>
    <col min="7" max="7" width="18" customWidth="1"/>
    <col min="8" max="8" width="22" customWidth="1"/>
    <col min="9" max="9" width="18" customWidth="1"/>
    <col min="10" max="10" width="14" customWidth="1"/>
    <col min="11" max="12" width="18" customWidth="1"/>
    <col min="13" max="13" width="28" customWidth="1"/>
    <col min="14" max="14" width="16" customWidth="1"/>
    <col min="15" max="15" width="18" customWidth="1"/>
    <col min="16" max="16" width="22" customWidth="1"/>
    <col min="17" max="17" width="16" customWidth="1"/>
    <col min="18" max="18" width="15" customWidth="1"/>
    <col min="19" max="19" width="45" customWidth="1"/>
  </cols>
  <sheetData>
    <row r="1" ht="35" customHeight="1" spans="1:20" x14ac:dyDescent="0.25">
      <c r="A1" s="6" t="s">
        <v>26</v>
      </c>
      <c r="B1" s="6"/>
      <c r="C1" s="6"/>
      <c r="D1" s="6"/>
      <c r="E1" s="6"/>
      <c r="F1" s="6"/>
      <c r="G1" s="6"/>
      <c r="H1" s="6"/>
      <c r="I1" s="6"/>
      <c r="J1" s="6"/>
      <c r="K1" s="6"/>
      <c r="L1" s="6"/>
      <c r="M1" s="6"/>
      <c r="N1" s="6"/>
      <c r="O1" s="6"/>
      <c r="P1" s="6"/>
      <c r="Q1" s="6"/>
      <c r="R1" s="6"/>
      <c r="S1" s="6"/>
      <c r="T1" s="6"/>
    </row>
    <row r="2" ht="20" customHeight="1" spans="1:20" x14ac:dyDescent="0.25">
      <c r="A2" s="7" t="s">
        <v>27</v>
      </c>
      <c r="B2" s="7"/>
      <c r="C2" s="7"/>
      <c r="D2" s="7"/>
      <c r="E2" s="7"/>
      <c r="F2" s="7"/>
      <c r="G2" s="7"/>
      <c r="H2" s="7"/>
      <c r="I2" s="7"/>
      <c r="J2" s="7"/>
      <c r="K2" s="7"/>
      <c r="L2" s="7"/>
      <c r="M2" s="7"/>
      <c r="N2" s="7"/>
      <c r="O2" s="7"/>
      <c r="P2" s="7"/>
      <c r="Q2" s="7"/>
      <c r="R2" s="7"/>
      <c r="S2" s="7"/>
      <c r="T2" s="7"/>
    </row>
    <row r="3" ht="28" customHeight="1" x14ac:dyDescent="0.25"/>
    <row r="4" ht="22" customHeight="1" spans="1:19" x14ac:dyDescent="0.25">
      <c r="A4" s="8" t="s">
        <v>28</v>
      </c>
      <c r="B4" s="9" t="s">
        <v>29</v>
      </c>
      <c r="C4" s="9" t="s">
        <v>30</v>
      </c>
      <c r="D4" s="9" t="s">
        <v>31</v>
      </c>
      <c r="E4" s="8">
        <v>3</v>
      </c>
      <c r="F4" s="9" t="s">
        <v>32</v>
      </c>
      <c r="G4" s="10">
        <v>0</v>
      </c>
      <c r="H4" s="9" t="s">
        <v>33</v>
      </c>
      <c r="I4" s="8">
        <v>5</v>
      </c>
      <c r="J4" s="8">
        <v>5</v>
      </c>
      <c r="K4" s="8">
        <v>5</v>
      </c>
      <c r="L4" s="8">
        <v>5</v>
      </c>
      <c r="M4" s="11">
        <f>=(I4*8)+(J4*6)+(K4*4)+(L4*2)</f>
      </c>
      <c r="N4" s="8" t="s">
        <v>34</v>
      </c>
      <c r="O4" s="9" t="s">
        <v>35</v>
      </c>
      <c r="P4" s="10">
        <v>2500</v>
      </c>
      <c r="Q4" s="8" t="s">
        <v>36</v>
      </c>
      <c r="R4" s="8" t="s">
        <v>37</v>
      </c>
      <c r="S4" s="12" t="s">
        <v>38</v>
      </c>
    </row>
    <row r="5" ht="22" customHeight="1" spans="1:19" x14ac:dyDescent="0.25">
      <c r="A5" s="8" t="s">
        <v>39</v>
      </c>
      <c r="B5" s="9" t="s">
        <v>40</v>
      </c>
      <c r="C5" s="9" t="s">
        <v>41</v>
      </c>
      <c r="D5" s="9" t="s">
        <v>31</v>
      </c>
      <c r="E5" s="8">
        <v>5</v>
      </c>
      <c r="F5" s="9" t="s">
        <v>42</v>
      </c>
      <c r="G5" s="10">
        <v>6000</v>
      </c>
      <c r="H5" s="9" t="s">
        <v>43</v>
      </c>
      <c r="I5" s="8">
        <v>4</v>
      </c>
      <c r="J5" s="8">
        <v>4</v>
      </c>
      <c r="K5" s="8">
        <v>4</v>
      </c>
      <c r="L5" s="8">
        <v>4</v>
      </c>
      <c r="M5" s="11">
        <f>=(I5*8)+(J5*6)+(K5*4)+(L5*2)</f>
      </c>
      <c r="N5" s="8" t="s">
        <v>34</v>
      </c>
      <c r="O5" s="9" t="s">
        <v>44</v>
      </c>
      <c r="P5" s="10">
        <v>6000</v>
      </c>
      <c r="Q5" s="8" t="s">
        <v>36</v>
      </c>
      <c r="R5" s="8" t="s">
        <v>37</v>
      </c>
      <c r="S5" s="12" t="s">
        <v>45</v>
      </c>
    </row>
    <row r="6" ht="22" customHeight="1" spans="1:19" x14ac:dyDescent="0.25">
      <c r="A6" s="8" t="s">
        <v>46</v>
      </c>
      <c r="B6" s="9" t="s">
        <v>47</v>
      </c>
      <c r="C6" s="9" t="s">
        <v>48</v>
      </c>
      <c r="D6" s="9" t="s">
        <v>31</v>
      </c>
      <c r="E6" s="8">
        <v>15</v>
      </c>
      <c r="F6" s="9" t="s">
        <v>49</v>
      </c>
      <c r="G6" s="10">
        <v>25000</v>
      </c>
      <c r="H6" s="9" t="s">
        <v>50</v>
      </c>
      <c r="I6" s="8">
        <v>3</v>
      </c>
      <c r="J6" s="8">
        <v>2</v>
      </c>
      <c r="K6" s="8">
        <v>2</v>
      </c>
      <c r="L6" s="8">
        <v>1</v>
      </c>
      <c r="M6" s="13">
        <f>=(I6*8)+(J6*6)+(K6*4)+(L6*2)</f>
      </c>
      <c r="N6" s="8" t="s">
        <v>51</v>
      </c>
      <c r="O6" s="9" t="s">
        <v>52</v>
      </c>
      <c r="P6" s="10">
        <v>0</v>
      </c>
      <c r="Q6" s="8" t="s">
        <v>53</v>
      </c>
      <c r="R6" s="8" t="s">
        <v>54</v>
      </c>
      <c r="S6" s="12" t="s">
        <v>55</v>
      </c>
    </row>
    <row r="7" ht="22" customHeight="1" spans="1:19" x14ac:dyDescent="0.25">
      <c r="A7" s="8" t="s">
        <v>56</v>
      </c>
      <c r="B7" s="9" t="s">
        <v>57</v>
      </c>
      <c r="C7" s="9" t="s">
        <v>58</v>
      </c>
      <c r="D7" s="9" t="s">
        <v>31</v>
      </c>
      <c r="E7" s="8">
        <v>4</v>
      </c>
      <c r="F7" s="9" t="s">
        <v>32</v>
      </c>
      <c r="G7" s="10">
        <v>0</v>
      </c>
      <c r="H7" s="9" t="s">
        <v>59</v>
      </c>
      <c r="I7" s="8">
        <v>4</v>
      </c>
      <c r="J7" s="8">
        <v>4</v>
      </c>
      <c r="K7" s="8">
        <v>4</v>
      </c>
      <c r="L7" s="8">
        <v>5</v>
      </c>
      <c r="M7" s="11">
        <f>=(I7*8)+(J7*6)+(K7*4)+(L7*2)</f>
      </c>
      <c r="N7" s="8" t="s">
        <v>34</v>
      </c>
      <c r="O7" s="9" t="s">
        <v>60</v>
      </c>
      <c r="P7" s="10">
        <v>2000</v>
      </c>
      <c r="Q7" s="8" t="s">
        <v>36</v>
      </c>
      <c r="R7" s="8" t="s">
        <v>54</v>
      </c>
      <c r="S7" s="12" t="s">
        <v>61</v>
      </c>
    </row>
    <row r="8" ht="22" customHeight="1" spans="1:19" x14ac:dyDescent="0.25">
      <c r="A8" s="8" t="s">
        <v>62</v>
      </c>
      <c r="B8" s="9" t="s">
        <v>63</v>
      </c>
      <c r="C8" s="9" t="s">
        <v>64</v>
      </c>
      <c r="D8" s="9" t="s">
        <v>31</v>
      </c>
      <c r="E8" s="8">
        <v>6</v>
      </c>
      <c r="F8" s="9" t="s">
        <v>65</v>
      </c>
      <c r="G8" s="10">
        <v>18000</v>
      </c>
      <c r="H8" s="9" t="s">
        <v>33</v>
      </c>
      <c r="I8" s="8">
        <v>4</v>
      </c>
      <c r="J8" s="8">
        <v>4</v>
      </c>
      <c r="K8" s="8">
        <v>4</v>
      </c>
      <c r="L8" s="8">
        <v>4</v>
      </c>
      <c r="M8" s="11">
        <f>=(I8*8)+(J8*6)+(K8*4)+(L8*2)</f>
      </c>
      <c r="N8" s="8" t="s">
        <v>34</v>
      </c>
      <c r="O8" s="9" t="s">
        <v>35</v>
      </c>
      <c r="P8" s="10">
        <v>8000</v>
      </c>
      <c r="Q8" s="8" t="s">
        <v>66</v>
      </c>
      <c r="R8" s="8" t="s">
        <v>67</v>
      </c>
      <c r="S8" s="12" t="s">
        <v>68</v>
      </c>
    </row>
    <row r="9" ht="22" customHeight="1" spans="1:19" x14ac:dyDescent="0.25">
      <c r="A9" s="8" t="s">
        <v>69</v>
      </c>
      <c r="B9" s="9" t="s">
        <v>70</v>
      </c>
      <c r="C9" s="9" t="s">
        <v>71</v>
      </c>
      <c r="D9" s="9" t="s">
        <v>31</v>
      </c>
      <c r="E9" s="8">
        <v>3</v>
      </c>
      <c r="F9" s="9" t="s">
        <v>42</v>
      </c>
      <c r="G9" s="10">
        <v>8000</v>
      </c>
      <c r="H9" s="9" t="s">
        <v>43</v>
      </c>
      <c r="I9" s="8">
        <v>5</v>
      </c>
      <c r="J9" s="8">
        <v>5</v>
      </c>
      <c r="K9" s="8">
        <v>5</v>
      </c>
      <c r="L9" s="8">
        <v>4</v>
      </c>
      <c r="M9" s="11">
        <f>=(I9*8)+(J9*6)+(K9*4)+(L9*2)</f>
      </c>
      <c r="N9" s="8" t="s">
        <v>34</v>
      </c>
      <c r="O9" s="9" t="s">
        <v>72</v>
      </c>
      <c r="P9" s="10">
        <v>8000</v>
      </c>
      <c r="Q9" s="8" t="s">
        <v>36</v>
      </c>
      <c r="R9" s="8" t="s">
        <v>67</v>
      </c>
      <c r="S9" s="12" t="s">
        <v>73</v>
      </c>
    </row>
    <row r="10" ht="22" customHeight="1" spans="1:19" x14ac:dyDescent="0.25">
      <c r="A10" s="8" t="s">
        <v>74</v>
      </c>
      <c r="B10" s="9" t="s">
        <v>75</v>
      </c>
      <c r="C10" s="9" t="s">
        <v>76</v>
      </c>
      <c r="D10" s="9" t="s">
        <v>31</v>
      </c>
      <c r="E10" s="8">
        <v>2</v>
      </c>
      <c r="F10" s="9" t="s">
        <v>32</v>
      </c>
      <c r="G10" s="10">
        <v>0</v>
      </c>
      <c r="H10" s="9" t="s">
        <v>33</v>
      </c>
      <c r="I10" s="8">
        <v>3</v>
      </c>
      <c r="J10" s="8">
        <v>3</v>
      </c>
      <c r="K10" s="8">
        <v>4</v>
      </c>
      <c r="L10" s="8">
        <v>5</v>
      </c>
      <c r="M10" s="14">
        <f>=(I10*8)+(J10*6)+(K10*4)+(L10*2)</f>
      </c>
      <c r="N10" s="8" t="s">
        <v>34</v>
      </c>
      <c r="O10" s="9" t="s">
        <v>35</v>
      </c>
      <c r="P10" s="10">
        <v>1500</v>
      </c>
      <c r="Q10" s="8" t="s">
        <v>66</v>
      </c>
      <c r="R10" s="8" t="s">
        <v>77</v>
      </c>
      <c r="S10" s="12" t="s">
        <v>78</v>
      </c>
    </row>
    <row r="11" ht="22" customHeight="1" spans="1:19" x14ac:dyDescent="0.25">
      <c r="A11" s="8" t="s">
        <v>79</v>
      </c>
      <c r="B11" s="9" t="s">
        <v>80</v>
      </c>
      <c r="C11" s="9" t="s">
        <v>81</v>
      </c>
      <c r="D11" s="9" t="s">
        <v>31</v>
      </c>
      <c r="E11" s="8">
        <v>8</v>
      </c>
      <c r="F11" s="9" t="s">
        <v>82</v>
      </c>
      <c r="G11" s="10">
        <v>35000</v>
      </c>
      <c r="H11" s="9" t="s">
        <v>83</v>
      </c>
      <c r="I11" s="8">
        <v>3</v>
      </c>
      <c r="J11" s="8">
        <v>3</v>
      </c>
      <c r="K11" s="8">
        <v>4</v>
      </c>
      <c r="L11" s="8">
        <v>3</v>
      </c>
      <c r="M11" s="14">
        <f>=(I11*8)+(J11*6)+(K11*4)+(L11*2)</f>
      </c>
      <c r="N11" s="8" t="s">
        <v>34</v>
      </c>
      <c r="O11" s="9" t="s">
        <v>84</v>
      </c>
      <c r="P11" s="10">
        <v>7999</v>
      </c>
      <c r="Q11" s="8" t="s">
        <v>66</v>
      </c>
      <c r="R11" s="8" t="s">
        <v>77</v>
      </c>
      <c r="S11" s="12" t="s">
        <v>85</v>
      </c>
    </row>
    <row r="12" ht="22" customHeight="1" spans="1:19" x14ac:dyDescent="0.25">
      <c r="A12" s="8" t="s">
        <v>86</v>
      </c>
      <c r="B12" s="9" t="s">
        <v>87</v>
      </c>
      <c r="C12" s="9" t="s">
        <v>88</v>
      </c>
      <c r="D12" s="9" t="s">
        <v>31</v>
      </c>
      <c r="E12" s="8">
        <v>5</v>
      </c>
      <c r="F12" s="9" t="s">
        <v>32</v>
      </c>
      <c r="G12" s="10">
        <v>0</v>
      </c>
      <c r="H12" s="9" t="s">
        <v>89</v>
      </c>
      <c r="I12" s="8">
        <v>4</v>
      </c>
      <c r="J12" s="8">
        <v>4</v>
      </c>
      <c r="K12" s="8">
        <v>4</v>
      </c>
      <c r="L12" s="8">
        <v>4</v>
      </c>
      <c r="M12" s="11">
        <f>=(I12*8)+(J12*6)+(K12*4)+(L12*2)</f>
      </c>
      <c r="N12" s="8" t="s">
        <v>34</v>
      </c>
      <c r="O12" s="9" t="s">
        <v>84</v>
      </c>
      <c r="P12" s="10">
        <v>2500</v>
      </c>
      <c r="Q12" s="8" t="s">
        <v>36</v>
      </c>
      <c r="R12" s="8" t="s">
        <v>90</v>
      </c>
      <c r="S12" s="12" t="s">
        <v>91</v>
      </c>
    </row>
    <row r="13" ht="22" customHeight="1" spans="1:19" x14ac:dyDescent="0.25">
      <c r="A13" s="8" t="s">
        <v>92</v>
      </c>
      <c r="B13" s="9" t="s">
        <v>93</v>
      </c>
      <c r="C13" s="9" t="s">
        <v>94</v>
      </c>
      <c r="D13" s="9" t="s">
        <v>31</v>
      </c>
      <c r="E13" s="8">
        <v>12</v>
      </c>
      <c r="F13" s="9" t="s">
        <v>49</v>
      </c>
      <c r="G13" s="10">
        <v>45000</v>
      </c>
      <c r="H13" s="9" t="s">
        <v>50</v>
      </c>
      <c r="I13" s="8">
        <v>2</v>
      </c>
      <c r="J13" s="8">
        <v>2</v>
      </c>
      <c r="K13" s="8">
        <v>4</v>
      </c>
      <c r="L13" s="8">
        <v>1</v>
      </c>
      <c r="M13" s="13">
        <f>=(I13*8)+(J13*6)+(K13*4)+(L13*2)</f>
      </c>
      <c r="N13" s="8" t="s">
        <v>51</v>
      </c>
      <c r="O13" s="9" t="s">
        <v>52</v>
      </c>
      <c r="P13" s="10">
        <v>0</v>
      </c>
      <c r="Q13" s="8" t="s">
        <v>53</v>
      </c>
      <c r="R13" s="8" t="s">
        <v>90</v>
      </c>
      <c r="S13" s="12" t="s">
        <v>95</v>
      </c>
    </row>
    <row r="14" ht="22" customHeight="1" spans="1:19" x14ac:dyDescent="0.25">
      <c r="A14" s="8" t="s">
        <v>96</v>
      </c>
      <c r="B14" s="9" t="s">
        <v>97</v>
      </c>
      <c r="C14" s="9" t="s">
        <v>97</v>
      </c>
      <c r="D14" s="9" t="s">
        <v>97</v>
      </c>
      <c r="E14" s="8" t="s">
        <v>97</v>
      </c>
      <c r="F14" s="9" t="s">
        <v>97</v>
      </c>
      <c r="G14" s="10" t="s">
        <v>97</v>
      </c>
      <c r="H14" s="9" t="s">
        <v>97</v>
      </c>
      <c r="I14" s="8" t="s">
        <v>97</v>
      </c>
      <c r="J14" s="8" t="s">
        <v>97</v>
      </c>
      <c r="K14" s="8" t="s">
        <v>97</v>
      </c>
      <c r="L14" s="8" t="s">
        <v>97</v>
      </c>
      <c r="M14" s="15">
        <f>=(I14*8)+(J14*6)+(K14*4)+(L14*2)</f>
      </c>
      <c r="N14" s="8" t="s">
        <v>97</v>
      </c>
      <c r="O14" s="9" t="s">
        <v>97</v>
      </c>
      <c r="P14" s="10" t="s">
        <v>97</v>
      </c>
      <c r="Q14" s="8" t="s">
        <v>97</v>
      </c>
      <c r="R14" s="8" t="s">
        <v>97</v>
      </c>
      <c r="S14" s="12" t="s">
        <v>97</v>
      </c>
    </row>
    <row r="15" ht="22" customHeight="1" spans="1:19" x14ac:dyDescent="0.25">
      <c r="A15" s="8" t="s">
        <v>98</v>
      </c>
      <c r="B15" s="9" t="s">
        <v>97</v>
      </c>
      <c r="C15" s="9" t="s">
        <v>97</v>
      </c>
      <c r="D15" s="9" t="s">
        <v>97</v>
      </c>
      <c r="E15" s="8" t="s">
        <v>97</v>
      </c>
      <c r="F15" s="9" t="s">
        <v>97</v>
      </c>
      <c r="G15" s="10" t="s">
        <v>97</v>
      </c>
      <c r="H15" s="9" t="s">
        <v>97</v>
      </c>
      <c r="I15" s="8" t="s">
        <v>97</v>
      </c>
      <c r="J15" s="8" t="s">
        <v>97</v>
      </c>
      <c r="K15" s="8" t="s">
        <v>97</v>
      </c>
      <c r="L15" s="8" t="s">
        <v>97</v>
      </c>
      <c r="M15" s="15">
        <f>=(I15*8)+(J15*6)+(K15*4)+(L15*2)</f>
      </c>
      <c r="N15" s="8" t="s">
        <v>97</v>
      </c>
      <c r="O15" s="9" t="s">
        <v>97</v>
      </c>
      <c r="P15" s="10" t="s">
        <v>97</v>
      </c>
      <c r="Q15" s="8" t="s">
        <v>97</v>
      </c>
      <c r="R15" s="8" t="s">
        <v>97</v>
      </c>
      <c r="S15" s="12" t="s">
        <v>97</v>
      </c>
    </row>
    <row r="16" ht="22" customHeight="1" spans="1:19" x14ac:dyDescent="0.25">
      <c r="A16" s="8" t="s">
        <v>99</v>
      </c>
      <c r="B16" s="9" t="s">
        <v>97</v>
      </c>
      <c r="C16" s="9" t="s">
        <v>97</v>
      </c>
      <c r="D16" s="9" t="s">
        <v>97</v>
      </c>
      <c r="E16" s="8" t="s">
        <v>97</v>
      </c>
      <c r="F16" s="9" t="s">
        <v>97</v>
      </c>
      <c r="G16" s="10" t="s">
        <v>97</v>
      </c>
      <c r="H16" s="9" t="s">
        <v>97</v>
      </c>
      <c r="I16" s="8" t="s">
        <v>97</v>
      </c>
      <c r="J16" s="8" t="s">
        <v>97</v>
      </c>
      <c r="K16" s="8" t="s">
        <v>97</v>
      </c>
      <c r="L16" s="8" t="s">
        <v>97</v>
      </c>
      <c r="M16" s="15">
        <f>=(I16*8)+(J16*6)+(K16*4)+(L16*2)</f>
      </c>
      <c r="N16" s="8" t="s">
        <v>97</v>
      </c>
      <c r="O16" s="9" t="s">
        <v>97</v>
      </c>
      <c r="P16" s="10" t="s">
        <v>97</v>
      </c>
      <c r="Q16" s="8" t="s">
        <v>97</v>
      </c>
      <c r="R16" s="8" t="s">
        <v>97</v>
      </c>
      <c r="S16" s="12" t="s">
        <v>97</v>
      </c>
    </row>
    <row r="17" ht="22" customHeight="1" spans="1:19" x14ac:dyDescent="0.25">
      <c r="A17" s="8" t="s">
        <v>100</v>
      </c>
      <c r="B17" s="9" t="s">
        <v>97</v>
      </c>
      <c r="C17" s="9" t="s">
        <v>97</v>
      </c>
      <c r="D17" s="9" t="s">
        <v>97</v>
      </c>
      <c r="E17" s="8" t="s">
        <v>97</v>
      </c>
      <c r="F17" s="9" t="s">
        <v>97</v>
      </c>
      <c r="G17" s="10" t="s">
        <v>97</v>
      </c>
      <c r="H17" s="9" t="s">
        <v>97</v>
      </c>
      <c r="I17" s="8" t="s">
        <v>97</v>
      </c>
      <c r="J17" s="8" t="s">
        <v>97</v>
      </c>
      <c r="K17" s="8" t="s">
        <v>97</v>
      </c>
      <c r="L17" s="8" t="s">
        <v>97</v>
      </c>
      <c r="M17" s="15">
        <f>=(I17*8)+(J17*6)+(K17*4)+(L17*2)</f>
      </c>
      <c r="N17" s="8" t="s">
        <v>97</v>
      </c>
      <c r="O17" s="9" t="s">
        <v>97</v>
      </c>
      <c r="P17" s="10" t="s">
        <v>97</v>
      </c>
      <c r="Q17" s="8" t="s">
        <v>97</v>
      </c>
      <c r="R17" s="8" t="s">
        <v>97</v>
      </c>
      <c r="S17" s="12" t="s">
        <v>97</v>
      </c>
    </row>
    <row r="18" ht="22" customHeight="1" spans="1:19" x14ac:dyDescent="0.25">
      <c r="A18" s="8" t="s">
        <v>101</v>
      </c>
      <c r="B18" s="9" t="s">
        <v>97</v>
      </c>
      <c r="C18" s="9" t="s">
        <v>97</v>
      </c>
      <c r="D18" s="9" t="s">
        <v>97</v>
      </c>
      <c r="E18" s="8" t="s">
        <v>97</v>
      </c>
      <c r="F18" s="9" t="s">
        <v>97</v>
      </c>
      <c r="G18" s="10" t="s">
        <v>97</v>
      </c>
      <c r="H18" s="9" t="s">
        <v>97</v>
      </c>
      <c r="I18" s="8" t="s">
        <v>97</v>
      </c>
      <c r="J18" s="8" t="s">
        <v>97</v>
      </c>
      <c r="K18" s="8" t="s">
        <v>97</v>
      </c>
      <c r="L18" s="8" t="s">
        <v>97</v>
      </c>
      <c r="M18" s="15">
        <f>=(I18*8)+(J18*6)+(K18*4)+(L18*2)</f>
      </c>
      <c r="N18" s="8" t="s">
        <v>97</v>
      </c>
      <c r="O18" s="9" t="s">
        <v>97</v>
      </c>
      <c r="P18" s="10" t="s">
        <v>97</v>
      </c>
      <c r="Q18" s="8" t="s">
        <v>97</v>
      </c>
      <c r="R18" s="8" t="s">
        <v>97</v>
      </c>
      <c r="S18" s="12" t="s">
        <v>97</v>
      </c>
    </row>
    <row r="19" ht="22" customHeight="1" spans="1:19" x14ac:dyDescent="0.25">
      <c r="A19" s="8" t="s">
        <v>102</v>
      </c>
      <c r="B19" s="9" t="s">
        <v>97</v>
      </c>
      <c r="C19" s="9" t="s">
        <v>97</v>
      </c>
      <c r="D19" s="9" t="s">
        <v>97</v>
      </c>
      <c r="E19" s="8" t="s">
        <v>97</v>
      </c>
      <c r="F19" s="9" t="s">
        <v>97</v>
      </c>
      <c r="G19" s="10" t="s">
        <v>97</v>
      </c>
      <c r="H19" s="9" t="s">
        <v>97</v>
      </c>
      <c r="I19" s="8" t="s">
        <v>97</v>
      </c>
      <c r="J19" s="8" t="s">
        <v>97</v>
      </c>
      <c r="K19" s="8" t="s">
        <v>97</v>
      </c>
      <c r="L19" s="8" t="s">
        <v>97</v>
      </c>
      <c r="M19" s="15">
        <f>=(I19*8)+(J19*6)+(K19*4)+(L19*2)</f>
      </c>
      <c r="N19" s="8" t="s">
        <v>97</v>
      </c>
      <c r="O19" s="9" t="s">
        <v>97</v>
      </c>
      <c r="P19" s="10" t="s">
        <v>97</v>
      </c>
      <c r="Q19" s="8" t="s">
        <v>97</v>
      </c>
      <c r="R19" s="8" t="s">
        <v>97</v>
      </c>
      <c r="S19" s="12" t="s">
        <v>97</v>
      </c>
    </row>
    <row r="20" ht="22" customHeight="1" spans="1:19" x14ac:dyDescent="0.25">
      <c r="A20" s="8" t="s">
        <v>103</v>
      </c>
      <c r="B20" s="9" t="s">
        <v>97</v>
      </c>
      <c r="C20" s="9" t="s">
        <v>97</v>
      </c>
      <c r="D20" s="9" t="s">
        <v>97</v>
      </c>
      <c r="E20" s="8" t="s">
        <v>97</v>
      </c>
      <c r="F20" s="9" t="s">
        <v>97</v>
      </c>
      <c r="G20" s="10" t="s">
        <v>97</v>
      </c>
      <c r="H20" s="9" t="s">
        <v>97</v>
      </c>
      <c r="I20" s="8" t="s">
        <v>97</v>
      </c>
      <c r="J20" s="8" t="s">
        <v>97</v>
      </c>
      <c r="K20" s="8" t="s">
        <v>97</v>
      </c>
      <c r="L20" s="8" t="s">
        <v>97</v>
      </c>
      <c r="M20" s="15">
        <f>=(I20*8)+(J20*6)+(K20*4)+(L20*2)</f>
      </c>
      <c r="N20" s="8" t="s">
        <v>97</v>
      </c>
      <c r="O20" s="9" t="s">
        <v>97</v>
      </c>
      <c r="P20" s="10" t="s">
        <v>97</v>
      </c>
      <c r="Q20" s="8" t="s">
        <v>97</v>
      </c>
      <c r="R20" s="8" t="s">
        <v>97</v>
      </c>
      <c r="S20" s="12" t="s">
        <v>97</v>
      </c>
    </row>
    <row r="21" ht="22" customHeight="1" spans="1:19" x14ac:dyDescent="0.25">
      <c r="A21" s="8" t="s">
        <v>104</v>
      </c>
      <c r="B21" s="9" t="s">
        <v>97</v>
      </c>
      <c r="C21" s="9" t="s">
        <v>97</v>
      </c>
      <c r="D21" s="9" t="s">
        <v>97</v>
      </c>
      <c r="E21" s="8" t="s">
        <v>97</v>
      </c>
      <c r="F21" s="9" t="s">
        <v>97</v>
      </c>
      <c r="G21" s="10" t="s">
        <v>97</v>
      </c>
      <c r="H21" s="9" t="s">
        <v>97</v>
      </c>
      <c r="I21" s="8" t="s">
        <v>97</v>
      </c>
      <c r="J21" s="8" t="s">
        <v>97</v>
      </c>
      <c r="K21" s="8" t="s">
        <v>97</v>
      </c>
      <c r="L21" s="8" t="s">
        <v>97</v>
      </c>
      <c r="M21" s="15">
        <f>=(I21*8)+(J21*6)+(K21*4)+(L21*2)</f>
      </c>
      <c r="N21" s="8" t="s">
        <v>97</v>
      </c>
      <c r="O21" s="9" t="s">
        <v>97</v>
      </c>
      <c r="P21" s="10" t="s">
        <v>97</v>
      </c>
      <c r="Q21" s="8" t="s">
        <v>97</v>
      </c>
      <c r="R21" s="8" t="s">
        <v>97</v>
      </c>
      <c r="S21" s="12" t="s">
        <v>97</v>
      </c>
    </row>
    <row r="22" ht="22" customHeight="1" spans="1:19" x14ac:dyDescent="0.25">
      <c r="A22" s="8" t="s">
        <v>105</v>
      </c>
      <c r="B22" s="9" t="s">
        <v>97</v>
      </c>
      <c r="C22" s="9" t="s">
        <v>97</v>
      </c>
      <c r="D22" s="9" t="s">
        <v>97</v>
      </c>
      <c r="E22" s="8" t="s">
        <v>97</v>
      </c>
      <c r="F22" s="9" t="s">
        <v>97</v>
      </c>
      <c r="G22" s="10" t="s">
        <v>97</v>
      </c>
      <c r="H22" s="9" t="s">
        <v>97</v>
      </c>
      <c r="I22" s="8" t="s">
        <v>97</v>
      </c>
      <c r="J22" s="8" t="s">
        <v>97</v>
      </c>
      <c r="K22" s="8" t="s">
        <v>97</v>
      </c>
      <c r="L22" s="8" t="s">
        <v>97</v>
      </c>
      <c r="M22" s="15">
        <f>=(I22*8)+(J22*6)+(K22*4)+(L22*2)</f>
      </c>
      <c r="N22" s="8" t="s">
        <v>97</v>
      </c>
      <c r="O22" s="9" t="s">
        <v>97</v>
      </c>
      <c r="P22" s="10" t="s">
        <v>97</v>
      </c>
      <c r="Q22" s="8" t="s">
        <v>97</v>
      </c>
      <c r="R22" s="8" t="s">
        <v>97</v>
      </c>
      <c r="S22" s="12" t="s">
        <v>97</v>
      </c>
    </row>
    <row r="23" ht="22" customHeight="1" spans="1:19" x14ac:dyDescent="0.25">
      <c r="A23" s="8" t="s">
        <v>106</v>
      </c>
      <c r="B23" s="9" t="s">
        <v>97</v>
      </c>
      <c r="C23" s="9" t="s">
        <v>97</v>
      </c>
      <c r="D23" s="9" t="s">
        <v>97</v>
      </c>
      <c r="E23" s="8" t="s">
        <v>97</v>
      </c>
      <c r="F23" s="9" t="s">
        <v>97</v>
      </c>
      <c r="G23" s="10" t="s">
        <v>97</v>
      </c>
      <c r="H23" s="9" t="s">
        <v>97</v>
      </c>
      <c r="I23" s="8" t="s">
        <v>97</v>
      </c>
      <c r="J23" s="8" t="s">
        <v>97</v>
      </c>
      <c r="K23" s="8" t="s">
        <v>97</v>
      </c>
      <c r="L23" s="8" t="s">
        <v>97</v>
      </c>
      <c r="M23" s="15">
        <f>=(I23*8)+(J23*6)+(K23*4)+(L23*2)</f>
      </c>
      <c r="N23" s="8" t="s">
        <v>97</v>
      </c>
      <c r="O23" s="9" t="s">
        <v>97</v>
      </c>
      <c r="P23" s="10" t="s">
        <v>97</v>
      </c>
      <c r="Q23" s="8" t="s">
        <v>97</v>
      </c>
      <c r="R23" s="8" t="s">
        <v>97</v>
      </c>
      <c r="S23" s="12" t="s">
        <v>97</v>
      </c>
    </row>
    <row r="24" ht="22" customHeight="1" spans="1:19" x14ac:dyDescent="0.25">
      <c r="A24" s="8" t="s">
        <v>107</v>
      </c>
      <c r="B24" s="9" t="s">
        <v>97</v>
      </c>
      <c r="C24" s="9" t="s">
        <v>97</v>
      </c>
      <c r="D24" s="9" t="s">
        <v>97</v>
      </c>
      <c r="E24" s="8" t="s">
        <v>97</v>
      </c>
      <c r="F24" s="9" t="s">
        <v>97</v>
      </c>
      <c r="G24" s="10" t="s">
        <v>97</v>
      </c>
      <c r="H24" s="9" t="s">
        <v>97</v>
      </c>
      <c r="I24" s="8" t="s">
        <v>97</v>
      </c>
      <c r="J24" s="8" t="s">
        <v>97</v>
      </c>
      <c r="K24" s="8" t="s">
        <v>97</v>
      </c>
      <c r="L24" s="8" t="s">
        <v>97</v>
      </c>
      <c r="M24" s="15">
        <f>=(I24*8)+(J24*6)+(K24*4)+(L24*2)</f>
      </c>
      <c r="N24" s="8" t="s">
        <v>97</v>
      </c>
      <c r="O24" s="9" t="s">
        <v>97</v>
      </c>
      <c r="P24" s="10" t="s">
        <v>97</v>
      </c>
      <c r="Q24" s="8" t="s">
        <v>97</v>
      </c>
      <c r="R24" s="8" t="s">
        <v>97</v>
      </c>
      <c r="S24" s="12" t="s">
        <v>97</v>
      </c>
    </row>
    <row r="25" ht="22" customHeight="1" spans="1:19" x14ac:dyDescent="0.25">
      <c r="A25" s="8" t="s">
        <v>108</v>
      </c>
      <c r="B25" s="9" t="s">
        <v>97</v>
      </c>
      <c r="C25" s="9" t="s">
        <v>97</v>
      </c>
      <c r="D25" s="9" t="s">
        <v>97</v>
      </c>
      <c r="E25" s="8" t="s">
        <v>97</v>
      </c>
      <c r="F25" s="9" t="s">
        <v>97</v>
      </c>
      <c r="G25" s="10" t="s">
        <v>97</v>
      </c>
      <c r="H25" s="9" t="s">
        <v>97</v>
      </c>
      <c r="I25" s="8" t="s">
        <v>97</v>
      </c>
      <c r="J25" s="8" t="s">
        <v>97</v>
      </c>
      <c r="K25" s="8" t="s">
        <v>97</v>
      </c>
      <c r="L25" s="8" t="s">
        <v>97</v>
      </c>
      <c r="M25" s="15">
        <f>=(I25*8)+(J25*6)+(K25*4)+(L25*2)</f>
      </c>
      <c r="N25" s="8" t="s">
        <v>97</v>
      </c>
      <c r="O25" s="9" t="s">
        <v>97</v>
      </c>
      <c r="P25" s="10" t="s">
        <v>97</v>
      </c>
      <c r="Q25" s="8" t="s">
        <v>97</v>
      </c>
      <c r="R25" s="8" t="s">
        <v>97</v>
      </c>
      <c r="S25" s="12" t="s">
        <v>97</v>
      </c>
    </row>
    <row r="26" ht="22" customHeight="1" spans="1:19" x14ac:dyDescent="0.25">
      <c r="A26" s="8" t="s">
        <v>109</v>
      </c>
      <c r="B26" s="9" t="s">
        <v>97</v>
      </c>
      <c r="C26" s="9" t="s">
        <v>97</v>
      </c>
      <c r="D26" s="9" t="s">
        <v>97</v>
      </c>
      <c r="E26" s="8" t="s">
        <v>97</v>
      </c>
      <c r="F26" s="9" t="s">
        <v>97</v>
      </c>
      <c r="G26" s="10" t="s">
        <v>97</v>
      </c>
      <c r="H26" s="9" t="s">
        <v>97</v>
      </c>
      <c r="I26" s="8" t="s">
        <v>97</v>
      </c>
      <c r="J26" s="8" t="s">
        <v>97</v>
      </c>
      <c r="K26" s="8" t="s">
        <v>97</v>
      </c>
      <c r="L26" s="8" t="s">
        <v>97</v>
      </c>
      <c r="M26" s="15">
        <f>=(I26*8)+(J26*6)+(K26*4)+(L26*2)</f>
      </c>
      <c r="N26" s="8" t="s">
        <v>97</v>
      </c>
      <c r="O26" s="9" t="s">
        <v>97</v>
      </c>
      <c r="P26" s="10" t="s">
        <v>97</v>
      </c>
      <c r="Q26" s="8" t="s">
        <v>97</v>
      </c>
      <c r="R26" s="8" t="s">
        <v>97</v>
      </c>
      <c r="S26" s="12" t="s">
        <v>97</v>
      </c>
    </row>
    <row r="27" ht="22" customHeight="1" spans="1:19" x14ac:dyDescent="0.25">
      <c r="A27" s="8" t="s">
        <v>110</v>
      </c>
      <c r="B27" s="9" t="s">
        <v>97</v>
      </c>
      <c r="C27" s="9" t="s">
        <v>97</v>
      </c>
      <c r="D27" s="9" t="s">
        <v>97</v>
      </c>
      <c r="E27" s="8" t="s">
        <v>97</v>
      </c>
      <c r="F27" s="9" t="s">
        <v>97</v>
      </c>
      <c r="G27" s="10" t="s">
        <v>97</v>
      </c>
      <c r="H27" s="9" t="s">
        <v>97</v>
      </c>
      <c r="I27" s="8" t="s">
        <v>97</v>
      </c>
      <c r="J27" s="8" t="s">
        <v>97</v>
      </c>
      <c r="K27" s="8" t="s">
        <v>97</v>
      </c>
      <c r="L27" s="8" t="s">
        <v>97</v>
      </c>
      <c r="M27" s="15">
        <f>=(I27*8)+(J27*6)+(K27*4)+(L27*2)</f>
      </c>
      <c r="N27" s="8" t="s">
        <v>97</v>
      </c>
      <c r="O27" s="9" t="s">
        <v>97</v>
      </c>
      <c r="P27" s="10" t="s">
        <v>97</v>
      </c>
      <c r="Q27" s="8" t="s">
        <v>97</v>
      </c>
      <c r="R27" s="8" t="s">
        <v>97</v>
      </c>
      <c r="S27" s="12" t="s">
        <v>97</v>
      </c>
    </row>
    <row r="28" ht="22" customHeight="1" spans="1:19" x14ac:dyDescent="0.25">
      <c r="A28" s="8" t="s">
        <v>111</v>
      </c>
      <c r="B28" s="9" t="s">
        <v>97</v>
      </c>
      <c r="C28" s="9" t="s">
        <v>97</v>
      </c>
      <c r="D28" s="9" t="s">
        <v>97</v>
      </c>
      <c r="E28" s="8" t="s">
        <v>97</v>
      </c>
      <c r="F28" s="9" t="s">
        <v>97</v>
      </c>
      <c r="G28" s="10" t="s">
        <v>97</v>
      </c>
      <c r="H28" s="9" t="s">
        <v>97</v>
      </c>
      <c r="I28" s="8" t="s">
        <v>97</v>
      </c>
      <c r="J28" s="8" t="s">
        <v>97</v>
      </c>
      <c r="K28" s="8" t="s">
        <v>97</v>
      </c>
      <c r="L28" s="8" t="s">
        <v>97</v>
      </c>
      <c r="M28" s="15">
        <f>=(I28*8)+(J28*6)+(K28*4)+(L28*2)</f>
      </c>
      <c r="N28" s="8" t="s">
        <v>97</v>
      </c>
      <c r="O28" s="9" t="s">
        <v>97</v>
      </c>
      <c r="P28" s="10" t="s">
        <v>97</v>
      </c>
      <c r="Q28" s="8" t="s">
        <v>97</v>
      </c>
      <c r="R28" s="8" t="s">
        <v>97</v>
      </c>
      <c r="S28" s="12" t="s">
        <v>97</v>
      </c>
    </row>
    <row r="29" ht="22" customHeight="1" spans="1:19" x14ac:dyDescent="0.25">
      <c r="A29" s="8" t="s">
        <v>112</v>
      </c>
      <c r="B29" s="9" t="s">
        <v>97</v>
      </c>
      <c r="C29" s="9" t="s">
        <v>97</v>
      </c>
      <c r="D29" s="9" t="s">
        <v>97</v>
      </c>
      <c r="E29" s="8" t="s">
        <v>97</v>
      </c>
      <c r="F29" s="9" t="s">
        <v>97</v>
      </c>
      <c r="G29" s="10" t="s">
        <v>97</v>
      </c>
      <c r="H29" s="9" t="s">
        <v>97</v>
      </c>
      <c r="I29" s="8" t="s">
        <v>97</v>
      </c>
      <c r="J29" s="8" t="s">
        <v>97</v>
      </c>
      <c r="K29" s="8" t="s">
        <v>97</v>
      </c>
      <c r="L29" s="8" t="s">
        <v>97</v>
      </c>
      <c r="M29" s="15">
        <f>=(I29*8)+(J29*6)+(K29*4)+(L29*2)</f>
      </c>
      <c r="N29" s="8" t="s">
        <v>97</v>
      </c>
      <c r="O29" s="9" t="s">
        <v>97</v>
      </c>
      <c r="P29" s="10" t="s">
        <v>97</v>
      </c>
      <c r="Q29" s="8" t="s">
        <v>97</v>
      </c>
      <c r="R29" s="8" t="s">
        <v>97</v>
      </c>
      <c r="S29" s="12" t="s">
        <v>97</v>
      </c>
    </row>
    <row r="30" ht="22" customHeight="1" spans="1:19" x14ac:dyDescent="0.25">
      <c r="A30" s="8" t="s">
        <v>113</v>
      </c>
      <c r="B30" s="9" t="s">
        <v>97</v>
      </c>
      <c r="C30" s="9" t="s">
        <v>97</v>
      </c>
      <c r="D30" s="9" t="s">
        <v>97</v>
      </c>
      <c r="E30" s="8" t="s">
        <v>97</v>
      </c>
      <c r="F30" s="9" t="s">
        <v>97</v>
      </c>
      <c r="G30" s="10" t="s">
        <v>97</v>
      </c>
      <c r="H30" s="9" t="s">
        <v>97</v>
      </c>
      <c r="I30" s="8" t="s">
        <v>97</v>
      </c>
      <c r="J30" s="8" t="s">
        <v>97</v>
      </c>
      <c r="K30" s="8" t="s">
        <v>97</v>
      </c>
      <c r="L30" s="8" t="s">
        <v>97</v>
      </c>
      <c r="M30" s="15">
        <f>=(I30*8)+(J30*6)+(K30*4)+(L30*2)</f>
      </c>
      <c r="N30" s="8" t="s">
        <v>97</v>
      </c>
      <c r="O30" s="9" t="s">
        <v>97</v>
      </c>
      <c r="P30" s="10" t="s">
        <v>97</v>
      </c>
      <c r="Q30" s="8" t="s">
        <v>97</v>
      </c>
      <c r="R30" s="8" t="s">
        <v>97</v>
      </c>
      <c r="S30" s="12" t="s">
        <v>97</v>
      </c>
    </row>
    <row r="31" ht="22" customHeight="1" spans="1:19" x14ac:dyDescent="0.25">
      <c r="A31" s="8" t="s">
        <v>114</v>
      </c>
      <c r="B31" s="9" t="s">
        <v>97</v>
      </c>
      <c r="C31" s="9" t="s">
        <v>97</v>
      </c>
      <c r="D31" s="9" t="s">
        <v>97</v>
      </c>
      <c r="E31" s="8" t="s">
        <v>97</v>
      </c>
      <c r="F31" s="9" t="s">
        <v>97</v>
      </c>
      <c r="G31" s="10" t="s">
        <v>97</v>
      </c>
      <c r="H31" s="9" t="s">
        <v>97</v>
      </c>
      <c r="I31" s="8" t="s">
        <v>97</v>
      </c>
      <c r="J31" s="8" t="s">
        <v>97</v>
      </c>
      <c r="K31" s="8" t="s">
        <v>97</v>
      </c>
      <c r="L31" s="8" t="s">
        <v>97</v>
      </c>
      <c r="M31" s="15">
        <f>=(I31*8)+(J31*6)+(K31*4)+(L31*2)</f>
      </c>
      <c r="N31" s="8" t="s">
        <v>97</v>
      </c>
      <c r="O31" s="9" t="s">
        <v>97</v>
      </c>
      <c r="P31" s="10" t="s">
        <v>97</v>
      </c>
      <c r="Q31" s="8" t="s">
        <v>97</v>
      </c>
      <c r="R31" s="8" t="s">
        <v>97</v>
      </c>
      <c r="S31" s="12" t="s">
        <v>97</v>
      </c>
    </row>
    <row r="32" ht="22" customHeight="1" spans="1:19" x14ac:dyDescent="0.25">
      <c r="A32" s="8" t="s">
        <v>115</v>
      </c>
      <c r="B32" s="9" t="s">
        <v>97</v>
      </c>
      <c r="C32" s="9" t="s">
        <v>97</v>
      </c>
      <c r="D32" s="9" t="s">
        <v>97</v>
      </c>
      <c r="E32" s="8" t="s">
        <v>97</v>
      </c>
      <c r="F32" s="9" t="s">
        <v>97</v>
      </c>
      <c r="G32" s="10" t="s">
        <v>97</v>
      </c>
      <c r="H32" s="9" t="s">
        <v>97</v>
      </c>
      <c r="I32" s="8" t="s">
        <v>97</v>
      </c>
      <c r="J32" s="8" t="s">
        <v>97</v>
      </c>
      <c r="K32" s="8" t="s">
        <v>97</v>
      </c>
      <c r="L32" s="8" t="s">
        <v>97</v>
      </c>
      <c r="M32" s="15">
        <f>=(I32*8)+(J32*6)+(K32*4)+(L32*2)</f>
      </c>
      <c r="N32" s="8" t="s">
        <v>97</v>
      </c>
      <c r="O32" s="9" t="s">
        <v>97</v>
      </c>
      <c r="P32" s="10" t="s">
        <v>97</v>
      </c>
      <c r="Q32" s="8" t="s">
        <v>97</v>
      </c>
      <c r="R32" s="8" t="s">
        <v>97</v>
      </c>
      <c r="S32" s="12" t="s">
        <v>97</v>
      </c>
    </row>
    <row r="33" ht="22" customHeight="1" spans="1:19" x14ac:dyDescent="0.25">
      <c r="A33" s="8" t="s">
        <v>116</v>
      </c>
      <c r="B33" s="9" t="s">
        <v>97</v>
      </c>
      <c r="C33" s="9" t="s">
        <v>97</v>
      </c>
      <c r="D33" s="9" t="s">
        <v>97</v>
      </c>
      <c r="E33" s="8" t="s">
        <v>97</v>
      </c>
      <c r="F33" s="9" t="s">
        <v>97</v>
      </c>
      <c r="G33" s="10" t="s">
        <v>97</v>
      </c>
      <c r="H33" s="9" t="s">
        <v>97</v>
      </c>
      <c r="I33" s="8" t="s">
        <v>97</v>
      </c>
      <c r="J33" s="8" t="s">
        <v>97</v>
      </c>
      <c r="K33" s="8" t="s">
        <v>97</v>
      </c>
      <c r="L33" s="8" t="s">
        <v>97</v>
      </c>
      <c r="M33" s="15">
        <f>=(I33*8)+(J33*6)+(K33*4)+(L33*2)</f>
      </c>
      <c r="N33" s="8" t="s">
        <v>97</v>
      </c>
      <c r="O33" s="9" t="s">
        <v>97</v>
      </c>
      <c r="P33" s="10" t="s">
        <v>97</v>
      </c>
      <c r="Q33" s="8" t="s">
        <v>97</v>
      </c>
      <c r="R33" s="8" t="s">
        <v>97</v>
      </c>
      <c r="S33" s="12" t="s">
        <v>97</v>
      </c>
    </row>
  </sheetData>
  <mergeCells count="2">
    <mergeCell ref="A1:T1"/>
    <mergeCell ref="A2:T2"/>
  </mergeCells>
  <dataValidations count="14">
    <dataValidation type="list" allowBlank="1" sqref="D10:D33">
      <formula1>"Recruitment Agency,MSME,Startup HR"</formula1>
    </dataValidation>
    <dataValidation type="list" allowBlank="1" sqref="D4:D33">
      <formula1>"Recruitment Agency,MSME,Startup HR"</formula1>
    </dataValidation>
    <dataValidation type="list" allowBlank="1" sqref="F10:F33">
      <formula1>"Excel/Folders,Zoho Recruit,Bullhorn,Loxo,Freshteam,Other"</formula1>
    </dataValidation>
    <dataValidation type="list" allowBlank="1" sqref="F4:F33">
      <formula1>"Excel/Folders,Zoho Recruit,Bullhorn,Loxo,Freshteam,Other"</formula1>
    </dataValidation>
    <dataValidation type="list" allowBlank="1" sqref="H10:H33">
      <formula1>"Resume Formatting,Slow Search,Duplicate Candidates,UI Complexity,Invoicing,Sourcing,Other"</formula1>
    </dataValidation>
    <dataValidation type="list" allowBlank="1" sqref="H4:H33">
      <formula1>"Resume Formatting,Slow Search,Duplicate Candidates,UI Complexity,Invoicing,Sourcing,Other"</formula1>
    </dataValidation>
    <dataValidation type="whole" allowBlank="1" showErrorMessage="1" errorTitle="Invalid Score" error="The value must be an integer between 1 and 5." sqref="I10:L33">
      <formula1>1</formula1>
      <formula2>5</formula2>
    </dataValidation>
    <dataValidation type="whole" allowBlank="1" showErrorMessage="1" errorTitle="Invalid Score" error="The value must be an integer between 1 and 5." sqref="I4:L33">
      <formula1>1</formula1>
      <formula2>5</formula2>
    </dataValidation>
    <dataValidation type="list" allowBlank="1" sqref="N10:N33">
      <formula1>"Yes,No"</formula1>
    </dataValidation>
    <dataValidation type="list" allowBlank="1" sqref="N4:N33">
      <formula1>"Yes,No"</formula1>
    </dataValidation>
    <dataValidation type="list" allowBlank="1" sqref="O10:O33">
      <formula1>"Resume Formatter,Semantic Search,Duplicate Alert,Invoice Sync,Auto-Match,None"</formula1>
    </dataValidation>
    <dataValidation type="list" allowBlank="1" sqref="O4:O33">
      <formula1>"Resume Formatter,Semantic Search,Duplicate Alert,Invoice Sync,Auto-Match,None"</formula1>
    </dataValidation>
    <dataValidation type="list" allowBlank="1" sqref="Q10:Q33">
      <formula1>"Committed,Interested,Not Interested"</formula1>
    </dataValidation>
    <dataValidation type="list" allowBlank="1" sqref="Q4:Q33">
      <formula1>"Committed,Interested,Not Interested"</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6"/>
  <sheetViews>
    <sheetView workbookViewId="0"/>
  </sheetViews>
  <sheetFormatPr defaultRowHeight="15" outlineLevelRow="0" outlineLevelCol="0" x14ac:dyDescent="55"/>
  <cols>
    <col min="1" max="1" width="4" customWidth="1"/>
    <col min="2" max="2" width="30" customWidth="1"/>
    <col min="3" max="3" width="18" customWidth="1"/>
    <col min="4" max="4" width="4" customWidth="1"/>
    <col min="5" max="5" width="30" customWidth="1"/>
    <col min="6" max="6" width="18" customWidth="1"/>
  </cols>
  <sheetData>
    <row r="2" ht="35" customHeight="1" spans="2:6" x14ac:dyDescent="0.25">
      <c r="B2" s="6" t="s">
        <v>117</v>
      </c>
      <c r="C2" s="6"/>
      <c r="D2" s="6"/>
      <c r="E2" s="6"/>
      <c r="F2" s="6"/>
    </row>
    <row r="4" spans="2:6" x14ac:dyDescent="0.25">
      <c r="B4" s="16" t="s">
        <v>118</v>
      </c>
      <c r="C4" s="16"/>
      <c r="E4" s="16" t="s">
        <v>119</v>
      </c>
      <c r="F4" s="16"/>
    </row>
    <row r="5" ht="25" customHeight="1" spans="2:6" x14ac:dyDescent="0.25">
      <c r="B5" s="17" t="s">
        <v>120</v>
      </c>
      <c r="C5" s="18">
        <f>=COUNTIF('Interview Tracker'!B4:B33, "&lt;&gt;")</f>
      </c>
      <c r="E5" s="17" t="s">
        <v>121</v>
      </c>
      <c r="F5" s="18">
        <f>=COUNTIF('Interview Tracker'!D4:D33, "Recruitment Agency")</f>
      </c>
    </row>
    <row r="6" ht="25" customHeight="1" spans="2:6" x14ac:dyDescent="0.25">
      <c r="B6" s="17" t="s">
        <v>122</v>
      </c>
      <c r="C6" s="19">
        <f>=COUNTIF('Interview Tracker'!M4:M33, "&gt;=75")</f>
      </c>
      <c r="E6" s="17" t="s">
        <v>123</v>
      </c>
      <c r="F6" s="18">
        <f>=COUNTIF('Interview Tracker'!D4:D33, "MSME")</f>
      </c>
    </row>
    <row r="7" ht="25" customHeight="1" spans="2:6" x14ac:dyDescent="0.25">
      <c r="B7" s="17" t="s">
        <v>124</v>
      </c>
      <c r="C7" s="18">
        <f>=AVERAGE('Interview Tracker'!I4:I33)</f>
      </c>
      <c r="E7" s="17" t="s">
        <v>125</v>
      </c>
      <c r="F7" s="18">
        <f>=COUNTIF('Interview Tracker'!D4:D33, "Startup HR")</f>
      </c>
    </row>
    <row r="8" ht="25" customHeight="1" spans="2:6" x14ac:dyDescent="0.25">
      <c r="B8" s="17" t="s">
        <v>126</v>
      </c>
      <c r="C8" s="18">
        <f>=AVERAGE('Interview Tracker'!J4:J33)</f>
      </c>
      <c r="E8" s="17" t="s">
        <v>127</v>
      </c>
      <c r="F8" s="18">
        <f>=COUNTIF('Interview Tracker'!H4:H33, "Resume Formatting")</f>
      </c>
    </row>
    <row r="9" ht="25" customHeight="1" spans="2:6" x14ac:dyDescent="0.25">
      <c r="B9" s="17" t="s">
        <v>128</v>
      </c>
      <c r="C9" s="18">
        <f>=AVERAGE('Interview Tracker'!L4:L33)</f>
      </c>
      <c r="E9" s="17" t="s">
        <v>129</v>
      </c>
      <c r="F9" s="18">
        <f>=COUNTIF('Interview Tracker'!H4:H33, "Slow Search")</f>
      </c>
    </row>
    <row r="10" ht="25" customHeight="1" spans="2:6" x14ac:dyDescent="0.25">
      <c r="B10" s="17" t="s">
        <v>130</v>
      </c>
      <c r="C10" s="19">
        <f>=COUNTIF('Interview Tracker'!Q4:Q33, "Committed")</f>
      </c>
      <c r="E10" s="17" t="s">
        <v>131</v>
      </c>
      <c r="F10" s="18">
        <f>=COUNTIF('Interview Tracker'!H4:H33, "Invoicing")</f>
      </c>
    </row>
    <row r="11" ht="25" customHeight="1" spans="2:6" x14ac:dyDescent="0.25">
      <c r="B11" s="17" t="s">
        <v>132</v>
      </c>
      <c r="C11" s="20">
        <f>=AVERAGEIF('Interview Tracker'!P4:P33, "&gt;0")</f>
      </c>
      <c r="E11" s="17" t="s">
        <v>133</v>
      </c>
      <c r="F11" s="18">
        <f>=COUNTIF('Interview Tracker'!H4:H33, "Data Security")</f>
      </c>
    </row>
    <row r="13" ht="20" customHeight="1" spans="2:6" x14ac:dyDescent="0.25">
      <c r="B13" s="21" t="s">
        <v>134</v>
      </c>
      <c r="C13" s="21"/>
      <c r="D13" s="21"/>
      <c r="E13" s="21"/>
      <c r="F13" s="21"/>
    </row>
    <row r="14" ht="18" customHeight="1" spans="2:6" x14ac:dyDescent="0.25">
      <c r="B14" s="22" t="s">
        <v>135</v>
      </c>
      <c r="C14" s="22"/>
      <c r="D14" s="22"/>
      <c r="E14" s="22"/>
      <c r="F14" s="22"/>
    </row>
    <row r="15" ht="18" customHeight="1" spans="2:6" x14ac:dyDescent="0.25">
      <c r="B15" s="22" t="s">
        <v>136</v>
      </c>
      <c r="C15" s="22"/>
      <c r="D15" s="22"/>
      <c r="E15" s="22"/>
      <c r="F15" s="22"/>
    </row>
    <row r="16" ht="18" customHeight="1" spans="2:6" x14ac:dyDescent="0.25">
      <c r="B16" s="22" t="s">
        <v>137</v>
      </c>
      <c r="C16" s="22"/>
      <c r="D16" s="22"/>
      <c r="E16" s="22"/>
      <c r="F16" s="22"/>
    </row>
  </sheetData>
  <mergeCells count="7">
    <mergeCell ref="B2:F2"/>
    <mergeCell ref="B4:C4"/>
    <mergeCell ref="E4:F4"/>
    <mergeCell ref="B13:F13"/>
    <mergeCell ref="B14:F14"/>
    <mergeCell ref="B15:F15"/>
    <mergeCell ref="B16:F1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 &amp; Playbook</vt:lpstr>
      <vt:lpstr>Interview Tracker</vt:lpstr>
      <vt:lpstr>Discovery Dashboard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MMD Product-Market Fit Researcher</dc:creator>
  <dc:title/>
  <dc:subject/>
  <dc:description/>
  <cp:keywords/>
  <cp:category/>
  <cp:lastModifiedBy>MMD Product-Market Fit Researcher</cp:lastModifiedBy>
  <dcterms:created xsi:type="dcterms:W3CDTF">2026-06-13T08:30:44Z</dcterms:created>
  <dcterms:modified xsi:type="dcterms:W3CDTF">2026-06-13T08:30:44Z</dcterms:modified>
</cp:coreProperties>
</file>